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tevelee/Desktop/npj digital/"/>
    </mc:Choice>
  </mc:AlternateContent>
  <xr:revisionPtr revIDLastSave="0" documentId="13_ncr:1_{C0D81934-A49A-3643-B3CC-D19BFC625AD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otal Cost" sheetId="1" r:id="rId1"/>
    <sheet name="Electricity" sheetId="2" r:id="rId2"/>
    <sheet name="Cloud" sheetId="3" r:id="rId3"/>
    <sheet name="Capital" sheetId="4" r:id="rId4"/>
    <sheet name="Clinical cost change" sheetId="5" r:id="rId5"/>
    <sheet name="Perspective Mapp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F13" i="4"/>
  <c r="F12" i="4"/>
  <c r="F11" i="4"/>
  <c r="F10" i="4"/>
  <c r="F9" i="4"/>
  <c r="F8" i="4"/>
  <c r="F7" i="4"/>
  <c r="F6" i="4"/>
  <c r="F5" i="4"/>
  <c r="F4" i="4"/>
  <c r="F3" i="4"/>
  <c r="F2" i="4"/>
  <c r="F14" i="4" s="1"/>
  <c r="F7" i="3"/>
  <c r="F6" i="3"/>
  <c r="F5" i="3"/>
  <c r="F4" i="3"/>
  <c r="F3" i="3"/>
  <c r="F2" i="3"/>
  <c r="F9" i="3" s="1"/>
  <c r="B6" i="2"/>
  <c r="D5" i="2"/>
  <c r="D4" i="2"/>
  <c r="D3" i="2"/>
  <c r="D2" i="2"/>
  <c r="D6" i="2" s="1"/>
  <c r="F12" i="5" l="1"/>
</calcChain>
</file>

<file path=xl/sharedStrings.xml><?xml version="1.0" encoding="utf-8"?>
<sst xmlns="http://schemas.openxmlformats.org/spreadsheetml/2006/main" count="365" uniqueCount="293">
  <si>
    <t>Table: Lifecycle Cost Inventory for AI Intervention in Healthcare (Micro activivity-based costing)</t>
  </si>
  <si>
    <t xml:space="preserve">Phase/Category </t>
  </si>
  <si>
    <t xml:space="preserve">Cost Item </t>
  </si>
  <si>
    <t xml:space="preserve">Cost Type </t>
  </si>
  <si>
    <t>Unit of Measurement</t>
  </si>
  <si>
    <t>AI-ready infrastructure</t>
  </si>
  <si>
    <t>One-time investment in servers, cloud platforms, cybersecurity, data lakes, and governance systems needed prior to deployment.</t>
  </si>
  <si>
    <t>One-time</t>
  </si>
  <si>
    <t>Per institution</t>
  </si>
  <si>
    <t>Interoperability &amp; integration layer</t>
  </si>
  <si>
    <t>Middleware, APIs, and data-format conversion enabling AI integration with HIS, EMR, PACS, LIS, and other clinical information systems.</t>
  </si>
  <si>
    <t>One-time + recurring</t>
  </si>
  <si>
    <t>Procurement, contracting and compliance</t>
  </si>
  <si>
    <t>Costs of procurement procedures, contract negotiation, legal and regulatory compliance, data-protection audits, and ethical review.</t>
  </si>
  <si>
    <t>Development</t>
  </si>
  <si>
    <t>Algorithm design &amp; software build</t>
  </si>
  <si>
    <t>Model design, software engineering, and development.</t>
  </si>
  <si>
    <t>Per model</t>
  </si>
  <si>
    <t>Data acquisition &amp; infrastructure</t>
  </si>
  <si>
    <t>Data collection, annotation, curation, database construction, and management.</t>
  </si>
  <si>
    <t>Per dataset</t>
  </si>
  <si>
    <t>Clinical validation &amp; regulatory preparation</t>
  </si>
  <si>
    <t>Pilot testing, validation studies, regulatory submissions, and approvals.</t>
  </si>
  <si>
    <t>Per submission</t>
  </si>
  <si>
    <t>Initial workforce preparation</t>
  </si>
  <si>
    <t>Initial training of clinical and technical staff.</t>
  </si>
  <si>
    <t>Per staff member</t>
  </si>
  <si>
    <t>Infrastructure procurement &amp; energy</t>
  </si>
  <si>
    <t>GPUs, servers, and electricity required for model training.</t>
  </si>
  <si>
    <t>Per model training cycle</t>
  </si>
  <si>
    <t xml:space="preserve">Regulatory &amp; Certification </t>
  </si>
  <si>
    <t>Regulatory submission and Quality Management System (QMS) preparation</t>
  </si>
  <si>
    <t>Includes quality management system (QMS/ISO13485) implementation, regulatory dossier preparation, clinical evaluation reports, risk management documentation, and pre-market certification fees.</t>
  </si>
  <si>
    <t>Per submission / Per market</t>
  </si>
  <si>
    <t>Per year</t>
  </si>
  <si>
    <t>Information security and system maintenance</t>
  </si>
  <si>
    <t>Covers cybersecurity management and certification (ISO27001), periodic security audits, software updates, penetration testing, and maintenance of data privacy compliance.</t>
  </si>
  <si>
    <t>Recurring</t>
  </si>
  <si>
    <t>Deployment/Implementation</t>
  </si>
  <si>
    <t>AI model deployment &amp; software integration</t>
  </si>
  <si>
    <t>Embedding AI into clinical workflows, UI development, and process changes.</t>
  </si>
  <si>
    <t>Real-time data exchange infrastructure</t>
  </si>
  <si>
    <t>Infrastructure for real-time data flow and interoperability during rollout.</t>
  </si>
  <si>
    <t>Per site</t>
  </si>
  <si>
    <t>Post-market validation &amp; compliance</t>
  </si>
  <si>
    <t>Ongoing audits, revalidation, and regulatory reporting.</t>
  </si>
  <si>
    <t>Annual</t>
  </si>
  <si>
    <t>Personnel &amp; training</t>
  </si>
  <si>
    <t>Training and re-training of staff during implementation and rollout.</t>
  </si>
  <si>
    <t>Operational infrastructure &amp; cloud services</t>
  </si>
  <si>
    <t>Cloud use, hosting, energy, and maintenance contracts.</t>
  </si>
  <si>
    <t>Platform &amp; subscription services</t>
  </si>
  <si>
    <t>Licensing, API access, and platform-as-a-service subscription</t>
  </si>
  <si>
    <t>Continuous monitoring &amp; model updating</t>
  </si>
  <si>
    <t>Model monitoring, drift detection, retraining, and recalibration.</t>
  </si>
  <si>
    <t>Per model per year</t>
  </si>
  <si>
    <t>Infrastructure maintenance &amp; scaling</t>
  </si>
  <si>
    <t>Database updates, storage expansion, and infrastructure upkeep.</t>
  </si>
  <si>
    <t>Compliance &amp; security auditing</t>
  </si>
  <si>
    <t>Periodic audits and reporting.</t>
  </si>
  <si>
    <t>Personnel &amp; ongoing training</t>
  </si>
  <si>
    <t>Ongoing training for maintenance and QA.</t>
  </si>
  <si>
    <t>Per staff member per year</t>
  </si>
  <si>
    <t>Infrastructure renewal</t>
  </si>
  <si>
    <t>Server upgrades, energy use, and cloud-service renewals.</t>
  </si>
  <si>
    <t>Vendor lock-in &amp; switching cost</t>
  </si>
  <si>
    <t>Costs of vendor dependency, proprietary systems, and future migration.</t>
  </si>
  <si>
    <t>Per migration</t>
  </si>
  <si>
    <t>Health System Resource Use &amp; Efficiency Impacts</t>
  </si>
  <si>
    <t>Healthcare utilisation costs</t>
  </si>
  <si>
    <t>Incremental changes in treatment, follow-up, and inpatient/outpatient resource consumption attributable to AI adoption, relative to standard care.</t>
  </si>
  <si>
    <t>Variable</t>
  </si>
  <si>
    <t>Per patient episode</t>
  </si>
  <si>
    <t>Diagnostic service costs</t>
  </si>
  <si>
    <t>Variation in volume, modality mix, or frequency of diagnostic tests following AI implementation.</t>
  </si>
  <si>
    <t>Per test</t>
  </si>
  <si>
    <t xml:space="preserve">Diagnostic workflow effciency gains </t>
  </si>
  <si>
    <t>Throughput improvement, reduced test turnaround time, and lower unit cost per case due to automation and digital integration.</t>
  </si>
  <si>
    <t>Offset</t>
  </si>
  <si>
    <t xml:space="preserve">Workforce productivity gains </t>
  </si>
  <si>
    <t>Reduction in clinician or technician time requirements per patient encounter, and associated redeployment of staff resources.</t>
  </si>
  <si>
    <t>Per personnel</t>
  </si>
  <si>
    <t>Administrative and process savings</t>
  </si>
  <si>
    <t>Decreased clerical workload, scheduling, and reporting overhead resulting from AI-enabled automation.</t>
  </si>
  <si>
    <t>Per task</t>
  </si>
  <si>
    <t>Other Operating Costs</t>
  </si>
  <si>
    <t>Environmental externalities and carbon cost</t>
  </si>
  <si>
    <t>Cost of carbon emissions associated with AI energy consumption.</t>
  </si>
  <si>
    <t>Per kWh</t>
  </si>
  <si>
    <t>Total electricity cost :</t>
  </si>
  <si>
    <t>$</t>
  </si>
  <si>
    <t xml:space="preserve">Compute </t>
  </si>
  <si>
    <t>GPU-hour / CPU-hour</t>
  </si>
  <si>
    <t>Model training and inference compute time (includes GPU/TPU usage).</t>
  </si>
  <si>
    <t>Storage</t>
  </si>
  <si>
    <t>GB-month</t>
  </si>
  <si>
    <t>Persistent and temporary data storage for datasets and model artefacts.</t>
  </si>
  <si>
    <t>Networking</t>
  </si>
  <si>
    <t>GB transferred</t>
  </si>
  <si>
    <t>Data egress, API calls, and real-time data exchange between systems.</t>
  </si>
  <si>
    <t>Management &amp; Security</t>
  </si>
  <si>
    <t>Month / FTE-month</t>
  </si>
  <si>
    <t>Cloud management, monitoring, security audits, and compliance oversight.</t>
  </si>
  <si>
    <t>Backup / Redundancy</t>
  </si>
  <si>
    <t>Month</t>
  </si>
  <si>
    <t>Automated backup, replication, and disaster-recovery services.</t>
  </si>
  <si>
    <t>Energy / Carbon Offset (optional)</t>
  </si>
  <si>
    <t>kWh / kgCO₂e</t>
  </si>
  <si>
    <t>Electricity consumption and associated carbon tax or offset cost.</t>
  </si>
  <si>
    <t>Other Services</t>
  </si>
  <si>
    <t>Any additional cloud-based functions (e.g., orchestration, analytics, DevOps).</t>
  </si>
  <si>
    <t>Data acquisition</t>
  </si>
  <si>
    <t>GPU server</t>
  </si>
  <si>
    <t>PACS storage</t>
  </si>
  <si>
    <t>Workstations and hardware</t>
  </si>
  <si>
    <t>On-prem server</t>
  </si>
  <si>
    <t>Edge device</t>
  </si>
  <si>
    <t>Networking equipmen</t>
  </si>
  <si>
    <t>Cooling and power systems</t>
  </si>
  <si>
    <t>Data center or physical facility upgrades</t>
  </si>
  <si>
    <t>Security and surveillance hardware</t>
  </si>
  <si>
    <t>Software licenses (capitalized)</t>
  </si>
  <si>
    <t>Other capital items</t>
  </si>
  <si>
    <t>Cost of disposable supplies</t>
  </si>
  <si>
    <t>Screening costs</t>
  </si>
  <si>
    <t>Diagnostic costs</t>
  </si>
  <si>
    <t>Treatment costs</t>
  </si>
  <si>
    <t>Follow-up and monitoring costs</t>
  </si>
  <si>
    <t>Referral or triage costs</t>
  </si>
  <si>
    <t>Emergency and inpatient costs</t>
  </si>
  <si>
    <t>Workforce time costs</t>
  </si>
  <si>
    <t>Administrative and reporting costs</t>
  </si>
  <si>
    <t>Other clinical costs</t>
  </si>
  <si>
    <t>Total Change in Clinical Costs</t>
  </si>
  <si>
    <t>Relevant analytic perspective</t>
  </si>
  <si>
    <t>AI technology applicability</t>
  </si>
  <si>
    <t>Directly or partly observable</t>
  </si>
  <si>
    <t>All AI types</t>
  </si>
  <si>
    <t>May be a shared institutional investment; allocate across sites, models, or patient episodes.</t>
  </si>
  <si>
    <t>Health system; Healthcare provider</t>
  </si>
  <si>
    <t>Partly observable</t>
  </si>
  <si>
    <t>Often embedded in implementation or vendor contracts; report separately when possible.</t>
  </si>
  <si>
    <t>Healthcare payer; Health system; Healthcare provider</t>
  </si>
  <si>
    <t>Vendor/developer; Health system; Societal</t>
  </si>
  <si>
    <t>May be embedded in subscription or licensing fees; requires developer/vendor-level data for direct costing.</t>
  </si>
  <si>
    <t>All AI types; especially diagnostic AI, risk prediction tools, and wearables</t>
  </si>
  <si>
    <t>Includes data collection, annotation, curation, storage, and governance; may be centralized at health-system level.</t>
  </si>
  <si>
    <t>Vendor/developer; Health system; Healthcare payer</t>
  </si>
  <si>
    <t>May be reported as regulatory or validation cost, or embedded in product price.</t>
  </si>
  <si>
    <t>Healthcare provider; Health system</t>
  </si>
  <si>
    <t>Directly observable</t>
  </si>
  <si>
    <t>Training costs depend on workflow change and staff mix.</t>
  </si>
  <si>
    <t>Vendor/developer; Health system; Healthcare provider; Societal</t>
  </si>
  <si>
    <t>Energy and hardware costs may occur during training, inference, retraining, or cloud deployment.</t>
  </si>
  <si>
    <t>Vendor/developer; Health system</t>
  </si>
  <si>
    <t>Usually not observable to provider/payer</t>
  </si>
  <si>
    <t>All regulated AI types</t>
  </si>
  <si>
    <t>Often embedded in the product price; report if borne by the implementing institution.</t>
  </si>
  <si>
    <t>Healthcare provider; Health system; Vendor/developer</t>
  </si>
  <si>
    <t>All AI types; especially cloud-based and EHR-integrated tools</t>
  </si>
  <si>
    <t>May be bundled with cybersecurity, cloud hosting, or maintenance contracts.</t>
  </si>
  <si>
    <t>Implementation cost should be separated from recurring software fees where feasible.</t>
  </si>
  <si>
    <t>Risk prediction tools; patient monitoring/wearables; diagnostic AI</t>
  </si>
  <si>
    <t>Critical for AI requiring continuous data feeds or integration with EHR, PACS, LIS, or monitoring systems.</t>
  </si>
  <si>
    <t>Healthcare payer; Healthcare provider; Health system; Vendor/developer</t>
  </si>
  <si>
    <t>Relevant when continued evidence generation, audit, or regulatory monitoring is required.</t>
  </si>
  <si>
    <t>Includes training, onboarding, and role redesign during implementation.</t>
  </si>
  <si>
    <t>Healthcare provider; Health system; Vendor/developer; Societal</t>
  </si>
  <si>
    <t>Cloud-based AI; wearables; risk prediction tools; diagnostic AI</t>
  </si>
  <si>
    <t>May be charged as cloud, hosting, API, or platform services; may include energy consumption.</t>
  </si>
  <si>
    <t>Healthcare payer; Healthcare provider; Health system</t>
  </si>
  <si>
    <t>May embed maintenance, updates, technical support, hosting, and vendor margins.</t>
  </si>
  <si>
    <t>Vendor/developer; Healthcare provider; Health system</t>
  </si>
  <si>
    <t>All AI types; especially adaptive or continuously monitored AI</t>
  </si>
  <si>
    <t>Should be separated when resource-use data are available; includes drift detection, retraining, recalibration.</t>
  </si>
  <si>
    <t>All AI types; especially cloud-based AI and high-volume screening</t>
  </si>
  <si>
    <t>May increase with scale, data storage, and inference volume.</t>
  </si>
  <si>
    <t>May be recurring and may be bundled in institutional overheads.</t>
  </si>
  <si>
    <t>Important when AI changes professional roles or requires periodic retraining.</t>
  </si>
  <si>
    <t>Includes hardware replacement, storage expansion, cloud renewal, or system upgrades.</t>
  </si>
  <si>
    <t>Healthcare provider; Health system; Healthcare payer</t>
  </si>
  <si>
    <t>Usually not observable until migration</t>
  </si>
  <si>
    <t>Relevant for long-term sustainability and procurement decisions.</t>
  </si>
  <si>
    <t>Healthcare payer; Healthcare provider; Health system; Societal; Patient/family</t>
  </si>
  <si>
    <t>Include changes in downstream treatment, follow-up, emergency, outpatient, and inpatient care.</t>
  </si>
  <si>
    <t>Healthcare payer; Healthcare provider; Health system; Societal</t>
  </si>
  <si>
    <t>Diagnostic AI / computer-aided detection</t>
  </si>
  <si>
    <t>Includes changes in diagnostic volume, modality mix, and confirmatory testing.</t>
  </si>
  <si>
    <t>Potential cost offset through throughput gains, reduced reporting time, or lower unit cost.</t>
  </si>
  <si>
    <t>Healthcare provider; Health system; Societal</t>
  </si>
  <si>
    <t>May represent cost offset or staff redeployment rather than direct cash saving.</t>
  </si>
  <si>
    <t>Administrative/workflow software; all AI types with workflow automation</t>
  </si>
  <si>
    <t>Report whether savings are real cash savings or opportunity-cost gains.</t>
  </si>
  <si>
    <t>Societal; Health system; Healthcare provider</t>
  </si>
  <si>
    <t>Usually not separately reported</t>
  </si>
  <si>
    <t>Compute-intensive AI; cloud-based AI; all AI types</t>
  </si>
  <si>
    <t>May be valued using electricity cost, carbon price, social cost of carbon, or emissions factors.</t>
  </si>
  <si>
    <t>Device/Process</t>
  </si>
  <si>
    <t>Energy Consumption (kWh/month)</t>
  </si>
  <si>
    <t>Unit electricity price</t>
  </si>
  <si>
    <t>Monthly Cost</t>
  </si>
  <si>
    <t>Notes/Description</t>
  </si>
  <si>
    <t>Compute power</t>
  </si>
  <si>
    <t>Electricity used for AI model training, inference, and GPU/TPU processing.</t>
  </si>
  <si>
    <t>Server maintenance</t>
  </si>
  <si>
    <t>Power consumption for server cooling, uptime monitoring, and system maintenance.</t>
  </si>
  <si>
    <t>Lifecycle energy</t>
  </si>
  <si>
    <t>Ongoing energy requirements during model operation, updates, and retraining cycles.</t>
  </si>
  <si>
    <t>Other infrastructure</t>
  </si>
  <si>
    <t>Auxiliary systems such as networking, backup, and data storage energy use.</t>
  </si>
  <si>
    <t>Total electricity consumption</t>
  </si>
  <si>
    <t>Aggregate monthly electricity use and total energy cost.</t>
  </si>
  <si>
    <t>Instance Type</t>
  </si>
  <si>
    <t>Unit</t>
  </si>
  <si>
    <t>Usage (Quantity)</t>
  </si>
  <si>
    <t>Unit price</t>
  </si>
  <si>
    <t>Duration</t>
  </si>
  <si>
    <t>Cost</t>
  </si>
  <si>
    <t>Notes / Description</t>
  </si>
  <si>
    <t>Total cloud cost :</t>
  </si>
  <si>
    <t>Capital Item</t>
  </si>
  <si>
    <t>Purchase Price (P)</t>
  </si>
  <si>
    <t>Salvage (S)</t>
  </si>
  <si>
    <t>Useful Life (L, years)</t>
  </si>
  <si>
    <t>Discount Rate (r)</t>
  </si>
  <si>
    <t>Equivalent Annual Cost</t>
  </si>
  <si>
    <t>Total annualized capital cost :</t>
  </si>
  <si>
    <t>Clinical Cost Component</t>
  </si>
  <si>
    <t>Without AI – Quantity Per Patient</t>
  </si>
  <si>
    <t>With AI – Quantity Per Patient</t>
  </si>
  <si>
    <t>Unit Cost</t>
  </si>
  <si>
    <t>Difference in Quantity</t>
  </si>
  <si>
    <t>Incremental Cost</t>
  </si>
  <si>
    <t>Analytic perspective</t>
  </si>
  <si>
    <t>Included cost categories</t>
  </si>
  <si>
    <t>Examples</t>
  </si>
  <si>
    <t>Use in economic evaluation</t>
  </si>
  <si>
    <t>Healthcare payer</t>
  </si>
  <si>
    <t>Reimbursed services, negotiated AI price, covered downstream care</t>
  </si>
  <si>
    <t>Per-use AI tariff, subscription paid by payer, admissions avoided</t>
  </si>
  <si>
    <t>Vendor development cost, provider workflow cost, unpaid patient time</t>
  </si>
  <si>
    <t>Appropriate for reimbursement and coverage decisions.</t>
  </si>
  <si>
    <t>Healthcare provider</t>
  </si>
  <si>
    <t>Implementation, staff time, infrastructure, operating costs, local productivity effects</t>
  </si>
  <si>
    <t>Integration, training, hardware, staff workflow time</t>
  </si>
  <si>
    <t>Patient time, societal externalities, vendor R&amp;D unless charged</t>
  </si>
  <si>
    <t>Appropriate for hospital adoption and budget planning.</t>
  </si>
  <si>
    <t>Health system</t>
  </si>
  <si>
    <t>Shared infrastructure, public digital platforms, centralized validation, payer/provider costs</t>
  </si>
  <si>
    <t>National data platform, interoperability layer, validation program</t>
  </si>
  <si>
    <t>Vendor margin, patient informal costs unless specified</t>
  </si>
  <si>
    <t>Appropriate for system-level procurement and capacity planning.</t>
  </si>
  <si>
    <t>Societal</t>
  </si>
  <si>
    <t>All direct and indirect resource use regardless of payer</t>
  </si>
  <si>
    <t>Patient time, travel, environmental externalities, productivity, health system costs</t>
  </si>
  <si>
    <t>Confidential vendor costs may remain difficult to observe</t>
  </si>
  <si>
    <t>Appropriate for broad opportunity-cost and welfare assessment.</t>
  </si>
  <si>
    <t>Patient/family</t>
  </si>
  <si>
    <t>Out-of-pocket payments, travel/time burden, informal caregiving</t>
  </si>
  <si>
    <t>Co-payments, travel costs, time to attend screening</t>
  </si>
  <si>
    <t>Provider infrastructure, vendor development cost</t>
  </si>
  <si>
    <t>Appropriate when access, affordability, or patient burden is central.</t>
  </si>
  <si>
    <t>Vendor/developer</t>
  </si>
  <si>
    <t>Development, training, validation, regulatory, maintenance, support</t>
  </si>
  <si>
    <t>Algorithm build, annotation, regulatory submission, model monitoring</t>
  </si>
  <si>
    <t>Patient downstream costs, payer spending</t>
  </si>
  <si>
    <t>Useful when full lifecycle production cost is available or when pricing transparency is needed.</t>
  </si>
  <si>
    <t>Directly observable: Measurable from the stated perspective</t>
  </si>
  <si>
    <t>Partly observable: Some elements are measurable, others may be bundled or indirect</t>
  </si>
  <si>
    <t>Embedded in price: Likely included within subscription, licence, or procurement price</t>
  </si>
  <si>
    <t>Not usually observable: Usually visible only to vendor/developer or another actor</t>
  </si>
  <si>
    <t>Perspective-dependent: Depends heavily on local contracting, procurement, or data access</t>
  </si>
  <si>
    <t>Definition and resource-use description</t>
  </si>
  <si>
    <r>
      <rPr>
        <vertAlign val="superscript"/>
        <sz val="10"/>
        <color theme="1"/>
        <rFont val="Calibri"/>
        <family val="2"/>
      </rPr>
      <t>#</t>
    </r>
    <r>
      <rPr>
        <sz val="10"/>
        <color theme="1"/>
        <rFont val="Calibri"/>
        <family val="2"/>
      </rPr>
      <t xml:space="preserve"> Note: The relevance and visibility of each cost item depend on the analytic perspective and decision problem. A cost component listed in this inventory should not be interpreted as mandatory for every analysis. Some costs may be directly observable by providers, payers, or health systems; others may be only partially observable, embedded within vendor prices, or primarily relevant from societal or developer perspectives.</t>
    </r>
  </si>
  <si>
    <t xml:space="preserve">Visibility under the stated perspective </t>
  </si>
  <si>
    <t>Perspective-specific interpreation and reporting note</t>
  </si>
  <si>
    <t xml:space="preserve">Often not visible or embedded </t>
  </si>
  <si>
    <t>Directly observable to vendor; Usually not observable to provider/payer (embedded in licensing fees).</t>
  </si>
  <si>
    <t>Directly observable to vendor (internal curation costs); Partly observable to provider if local data is purchased/cleansed.</t>
  </si>
  <si>
    <t>Directly observable to vendor; Observable to provider only if participating as a multi-center trial site.</t>
  </si>
  <si>
    <t>Directly observable to vendor (cloud compute invoices); Not observable to health system.</t>
  </si>
  <si>
    <t>Often embedded in price. Directly observable to vendor (engineering hours); Indirectly observable to provider as bundled maintenance fees.</t>
  </si>
  <si>
    <t>Partly observable. : Directly observable to vendor/cloud provider; Observable to provider if hosting on-premise infrastructure.</t>
  </si>
  <si>
    <t>The Pre-Deployment/Capital Phase (Fixed Investment)</t>
  </si>
  <si>
    <t>The Maintenance and Algorithmic Drift Phase</t>
  </si>
  <si>
    <t>One-time (or recurring if local fine-tuning/adaptation is required)</t>
  </si>
  <si>
    <t>One-time (event-driven upon system migration)</t>
  </si>
  <si>
    <t>Compute-intensive diagnostic AI, risk prediction tools, Foundation models and LLMs.</t>
  </si>
  <si>
    <t>Potential Offset</t>
  </si>
  <si>
    <t>All AI types; especially diagnostic AI, risk prediction tools, and wearables/remote monitoring</t>
  </si>
  <si>
    <t>Per procurement cycle (or staff hours allocated to administrative/legal review)</t>
  </si>
  <si>
    <t>Relevant when AI is purchased through procurement, enterprise licensing, or public payer contracts. Should explicitly include institutional personnel time spent on data privacy impact assessments (DPIAs), legal data-sharing agreements, and institutional ethics board reviews.</t>
  </si>
  <si>
    <t xml:space="preserve">One-time+ recurring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</si>
</sst>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vertAlign val="superscript"/>
      <sz val="10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center" wrapText="1"/>
    </xf>
    <xf numFmtId="0" fontId="5" fillId="4" borderId="0" xfId="0" applyFont="1" applyFill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4" borderId="0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Wu" id="{0257677A-1E22-4E27-A5C6-9B5F6BA43777}" userId="288172a2f7750bd9" providerId="Windows Live"/>
</personList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5-24T03:26:43.52" personId="{0257677A-1E22-4E27-A5C6-9B5F6BA43777}" id="{68767251-1185-4B6E-BBED-08768CD55BF1}">
    <text>Good to enhance and standardise the definition of visibility category. I’ve added the footnotes at the bottom of the table.</text>
  </threadedComment>
</ThreadedComments>
</file>

<file path=xl/worksheets/_rels/sheet1.xml.rels><?xml version="1.0" encoding="UTF-8" standalone="yes"?>
<Relationships xmlns="http://schemas.openxmlformats.org/package/2006/relationships"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3" zoomScale="156" zoomScaleNormal="100" workbookViewId="0">
      <selection activeCell="C35" sqref="C35"/>
    </sheetView>
  </sheetViews>
  <sheetFormatPr baseColWidth="10" defaultColWidth="42.83203125" defaultRowHeight="15" x14ac:dyDescent="0.2"/>
  <cols>
    <col min="1" max="1" width="20.83203125" style="3" customWidth="1"/>
    <col min="2" max="2" width="28" style="3" customWidth="1"/>
    <col min="3" max="3" width="48.33203125" style="3" customWidth="1"/>
    <col min="4" max="4" width="16" style="3" customWidth="1"/>
    <col min="5" max="5" width="18" style="3" customWidth="1"/>
    <col min="6" max="6" width="30" customWidth="1"/>
    <col min="7" max="7" width="25.6640625" customWidth="1"/>
    <col min="8" max="8" width="32" customWidth="1"/>
    <col min="9" max="9" width="48" customWidth="1"/>
    <col min="10" max="16384" width="42.83203125" style="3"/>
  </cols>
  <sheetData>
    <row r="1" spans="1:9" ht="17" x14ac:dyDescent="0.2">
      <c r="A1" s="20" t="s">
        <v>0</v>
      </c>
      <c r="B1" s="20"/>
      <c r="C1" s="20"/>
      <c r="D1" s="20"/>
      <c r="E1" s="20"/>
      <c r="F1" s="8"/>
      <c r="G1" s="8"/>
      <c r="H1" s="8"/>
      <c r="I1" s="8"/>
    </row>
    <row r="2" spans="1:9" ht="32" x14ac:dyDescent="0.2">
      <c r="A2" s="25" t="s">
        <v>1</v>
      </c>
      <c r="B2" s="25" t="s">
        <v>2</v>
      </c>
      <c r="C2" s="26" t="s">
        <v>272</v>
      </c>
      <c r="D2" s="25" t="s">
        <v>3</v>
      </c>
      <c r="E2" s="25" t="s">
        <v>4</v>
      </c>
      <c r="F2" s="27" t="s">
        <v>134</v>
      </c>
      <c r="G2" s="28" t="s">
        <v>274</v>
      </c>
      <c r="H2" s="27" t="s">
        <v>135</v>
      </c>
      <c r="I2" s="28" t="s">
        <v>275</v>
      </c>
    </row>
    <row r="3" spans="1:9" ht="32" x14ac:dyDescent="0.2">
      <c r="A3" s="18" t="s">
        <v>283</v>
      </c>
      <c r="B3" s="2" t="s">
        <v>5</v>
      </c>
      <c r="C3" s="2" t="s">
        <v>6</v>
      </c>
      <c r="D3" s="2" t="s">
        <v>7</v>
      </c>
      <c r="E3" s="2" t="s">
        <v>8</v>
      </c>
      <c r="F3" s="24" t="s">
        <v>139</v>
      </c>
      <c r="G3" s="5" t="s">
        <v>136</v>
      </c>
      <c r="H3" s="5" t="s">
        <v>137</v>
      </c>
      <c r="I3" s="5" t="s">
        <v>138</v>
      </c>
    </row>
    <row r="4" spans="1:9" ht="48" x14ac:dyDescent="0.2">
      <c r="A4" s="18"/>
      <c r="B4" s="2" t="s">
        <v>9</v>
      </c>
      <c r="C4" s="2" t="s">
        <v>10</v>
      </c>
      <c r="D4" s="2" t="s">
        <v>11</v>
      </c>
      <c r="E4" s="2" t="s">
        <v>8</v>
      </c>
      <c r="F4" s="5" t="s">
        <v>139</v>
      </c>
      <c r="G4" s="5" t="s">
        <v>140</v>
      </c>
      <c r="H4" s="24" t="s">
        <v>289</v>
      </c>
      <c r="I4" s="5" t="s">
        <v>141</v>
      </c>
    </row>
    <row r="5" spans="1:9" ht="80" x14ac:dyDescent="0.2">
      <c r="A5" s="18"/>
      <c r="B5" s="2" t="s">
        <v>12</v>
      </c>
      <c r="C5" s="2" t="s">
        <v>13</v>
      </c>
      <c r="D5" s="2" t="s">
        <v>11</v>
      </c>
      <c r="E5" s="2" t="s">
        <v>290</v>
      </c>
      <c r="F5" s="5" t="s">
        <v>142</v>
      </c>
      <c r="G5" s="5" t="s">
        <v>136</v>
      </c>
      <c r="H5" s="5" t="s">
        <v>137</v>
      </c>
      <c r="I5" s="24" t="s">
        <v>291</v>
      </c>
    </row>
    <row r="6" spans="1:9" ht="64" x14ac:dyDescent="0.2">
      <c r="A6" s="18" t="s">
        <v>14</v>
      </c>
      <c r="B6" s="2" t="s">
        <v>15</v>
      </c>
      <c r="C6" s="2" t="s">
        <v>16</v>
      </c>
      <c r="D6" s="2" t="s">
        <v>285</v>
      </c>
      <c r="E6" s="2" t="s">
        <v>17</v>
      </c>
      <c r="F6" s="5" t="s">
        <v>143</v>
      </c>
      <c r="G6" s="24" t="s">
        <v>277</v>
      </c>
      <c r="H6" s="5" t="s">
        <v>137</v>
      </c>
      <c r="I6" s="5" t="s">
        <v>144</v>
      </c>
    </row>
    <row r="7" spans="1:9" ht="64" x14ac:dyDescent="0.2">
      <c r="A7" s="18"/>
      <c r="B7" s="2" t="s">
        <v>18</v>
      </c>
      <c r="C7" s="2" t="s">
        <v>19</v>
      </c>
      <c r="D7" s="2" t="s">
        <v>7</v>
      </c>
      <c r="E7" s="2" t="s">
        <v>20</v>
      </c>
      <c r="F7" s="5" t="s">
        <v>143</v>
      </c>
      <c r="G7" s="24" t="s">
        <v>278</v>
      </c>
      <c r="H7" s="5" t="s">
        <v>145</v>
      </c>
      <c r="I7" s="5" t="s">
        <v>146</v>
      </c>
    </row>
    <row r="8" spans="1:9" ht="64" x14ac:dyDescent="0.2">
      <c r="A8" s="18"/>
      <c r="B8" s="2" t="s">
        <v>21</v>
      </c>
      <c r="C8" s="2" t="s">
        <v>22</v>
      </c>
      <c r="D8" s="2" t="s">
        <v>7</v>
      </c>
      <c r="E8" s="2" t="s">
        <v>23</v>
      </c>
      <c r="F8" s="5" t="s">
        <v>147</v>
      </c>
      <c r="G8" s="24" t="s">
        <v>279</v>
      </c>
      <c r="H8" s="5" t="s">
        <v>137</v>
      </c>
      <c r="I8" s="5" t="s">
        <v>148</v>
      </c>
    </row>
    <row r="9" spans="1:9" ht="16" x14ac:dyDescent="0.2">
      <c r="A9" s="18"/>
      <c r="B9" s="2" t="s">
        <v>24</v>
      </c>
      <c r="C9" s="2" t="s">
        <v>25</v>
      </c>
      <c r="D9" s="2" t="s">
        <v>7</v>
      </c>
      <c r="E9" s="2" t="s">
        <v>26</v>
      </c>
      <c r="F9" s="5" t="s">
        <v>149</v>
      </c>
      <c r="G9" s="5" t="s">
        <v>150</v>
      </c>
      <c r="H9" s="5" t="s">
        <v>137</v>
      </c>
      <c r="I9" s="5" t="s">
        <v>151</v>
      </c>
    </row>
    <row r="10" spans="1:9" ht="48" x14ac:dyDescent="0.2">
      <c r="A10" s="18"/>
      <c r="B10" s="2" t="s">
        <v>27</v>
      </c>
      <c r="C10" s="2" t="s">
        <v>28</v>
      </c>
      <c r="D10" s="2" t="s">
        <v>11</v>
      </c>
      <c r="E10" s="2" t="s">
        <v>29</v>
      </c>
      <c r="F10" s="5" t="s">
        <v>152</v>
      </c>
      <c r="G10" s="24" t="s">
        <v>280</v>
      </c>
      <c r="H10" s="24" t="s">
        <v>287</v>
      </c>
      <c r="I10" s="5" t="s">
        <v>153</v>
      </c>
    </row>
    <row r="11" spans="1:9" ht="60" x14ac:dyDescent="0.2">
      <c r="A11" s="18" t="s">
        <v>30</v>
      </c>
      <c r="B11" s="2" t="s">
        <v>31</v>
      </c>
      <c r="C11" s="2" t="s">
        <v>32</v>
      </c>
      <c r="D11" s="2" t="s">
        <v>33</v>
      </c>
      <c r="E11" s="2" t="s">
        <v>34</v>
      </c>
      <c r="F11" s="5" t="s">
        <v>154</v>
      </c>
      <c r="G11" s="5" t="s">
        <v>155</v>
      </c>
      <c r="H11" s="5" t="s">
        <v>156</v>
      </c>
      <c r="I11" s="5" t="s">
        <v>157</v>
      </c>
    </row>
    <row r="12" spans="1:9" ht="45" x14ac:dyDescent="0.2">
      <c r="A12" s="18"/>
      <c r="B12" s="2" t="s">
        <v>35</v>
      </c>
      <c r="C12" s="2" t="s">
        <v>36</v>
      </c>
      <c r="D12" s="2" t="s">
        <v>37</v>
      </c>
      <c r="E12" s="2" t="s">
        <v>8</v>
      </c>
      <c r="F12" s="5" t="s">
        <v>158</v>
      </c>
      <c r="G12" s="5" t="s">
        <v>140</v>
      </c>
      <c r="H12" s="5" t="s">
        <v>159</v>
      </c>
      <c r="I12" s="5" t="s">
        <v>160</v>
      </c>
    </row>
    <row r="13" spans="1:9" ht="32" x14ac:dyDescent="0.2">
      <c r="A13" s="18" t="s">
        <v>38</v>
      </c>
      <c r="B13" s="2" t="s">
        <v>39</v>
      </c>
      <c r="C13" s="2" t="s">
        <v>40</v>
      </c>
      <c r="D13" s="2" t="s">
        <v>292</v>
      </c>
      <c r="E13" s="2" t="s">
        <v>8</v>
      </c>
      <c r="F13" s="5" t="s">
        <v>149</v>
      </c>
      <c r="G13" s="5" t="s">
        <v>136</v>
      </c>
      <c r="H13" s="5" t="s">
        <v>137</v>
      </c>
      <c r="I13" s="5" t="s">
        <v>161</v>
      </c>
    </row>
    <row r="14" spans="1:9" ht="32" x14ac:dyDescent="0.2">
      <c r="A14" s="18"/>
      <c r="B14" s="2" t="s">
        <v>41</v>
      </c>
      <c r="C14" s="2" t="s">
        <v>42</v>
      </c>
      <c r="D14" s="2" t="s">
        <v>11</v>
      </c>
      <c r="E14" s="2" t="s">
        <v>43</v>
      </c>
      <c r="F14" s="5" t="s">
        <v>149</v>
      </c>
      <c r="G14" s="5" t="s">
        <v>140</v>
      </c>
      <c r="H14" s="5" t="s">
        <v>162</v>
      </c>
      <c r="I14" s="5" t="s">
        <v>163</v>
      </c>
    </row>
    <row r="15" spans="1:9" ht="32" x14ac:dyDescent="0.2">
      <c r="A15" s="18"/>
      <c r="B15" s="2" t="s">
        <v>47</v>
      </c>
      <c r="C15" s="2" t="s">
        <v>48</v>
      </c>
      <c r="D15" s="2" t="s">
        <v>11</v>
      </c>
      <c r="E15" s="2" t="s">
        <v>26</v>
      </c>
      <c r="F15" s="5" t="s">
        <v>149</v>
      </c>
      <c r="G15" s="5" t="s">
        <v>150</v>
      </c>
      <c r="H15" s="5" t="s">
        <v>137</v>
      </c>
      <c r="I15" s="5" t="s">
        <v>166</v>
      </c>
    </row>
    <row r="16" spans="1:9" ht="32" x14ac:dyDescent="0.2">
      <c r="A16" s="18"/>
      <c r="B16" s="2" t="s">
        <v>49</v>
      </c>
      <c r="C16" s="2" t="s">
        <v>50</v>
      </c>
      <c r="D16" s="2" t="s">
        <v>37</v>
      </c>
      <c r="E16" s="2" t="s">
        <v>34</v>
      </c>
      <c r="F16" s="5" t="s">
        <v>167</v>
      </c>
      <c r="G16" s="5" t="s">
        <v>136</v>
      </c>
      <c r="H16" s="5" t="s">
        <v>168</v>
      </c>
      <c r="I16" s="5" t="s">
        <v>169</v>
      </c>
    </row>
    <row r="17" spans="1:9" ht="32" x14ac:dyDescent="0.2">
      <c r="A17" s="18"/>
      <c r="B17" s="2" t="s">
        <v>51</v>
      </c>
      <c r="C17" s="2" t="s">
        <v>52</v>
      </c>
      <c r="D17" s="2" t="s">
        <v>37</v>
      </c>
      <c r="E17" s="2" t="s">
        <v>34</v>
      </c>
      <c r="F17" s="5" t="s">
        <v>170</v>
      </c>
      <c r="G17" s="5" t="s">
        <v>150</v>
      </c>
      <c r="H17" s="5" t="s">
        <v>137</v>
      </c>
      <c r="I17" s="5" t="s">
        <v>171</v>
      </c>
    </row>
    <row r="18" spans="1:9" ht="80" x14ac:dyDescent="0.2">
      <c r="A18" s="18" t="s">
        <v>284</v>
      </c>
      <c r="B18" s="2" t="s">
        <v>53</v>
      </c>
      <c r="C18" s="2" t="s">
        <v>54</v>
      </c>
      <c r="D18" s="2" t="s">
        <v>37</v>
      </c>
      <c r="E18" s="2" t="s">
        <v>55</v>
      </c>
      <c r="F18" s="5" t="s">
        <v>172</v>
      </c>
      <c r="G18" s="24" t="s">
        <v>281</v>
      </c>
      <c r="H18" s="5" t="s">
        <v>173</v>
      </c>
      <c r="I18" s="5" t="s">
        <v>174</v>
      </c>
    </row>
    <row r="19" spans="1:9" ht="80" x14ac:dyDescent="0.2">
      <c r="A19" s="18"/>
      <c r="B19" s="2" t="s">
        <v>56</v>
      </c>
      <c r="C19" s="2" t="s">
        <v>57</v>
      </c>
      <c r="D19" s="2" t="s">
        <v>37</v>
      </c>
      <c r="E19" s="2" t="s">
        <v>34</v>
      </c>
      <c r="F19" s="5" t="s">
        <v>158</v>
      </c>
      <c r="G19" s="24" t="s">
        <v>282</v>
      </c>
      <c r="H19" s="5" t="s">
        <v>175</v>
      </c>
      <c r="I19" s="5" t="s">
        <v>176</v>
      </c>
    </row>
    <row r="20" spans="1:9" ht="32" x14ac:dyDescent="0.2">
      <c r="A20" s="18"/>
      <c r="B20" s="2" t="s">
        <v>58</v>
      </c>
      <c r="C20" s="2" t="s">
        <v>59</v>
      </c>
      <c r="D20" s="2" t="s">
        <v>37</v>
      </c>
      <c r="E20" s="2" t="s">
        <v>34</v>
      </c>
      <c r="F20" s="5" t="s">
        <v>158</v>
      </c>
      <c r="G20" s="5" t="s">
        <v>140</v>
      </c>
      <c r="H20" s="5" t="s">
        <v>137</v>
      </c>
      <c r="I20" s="5" t="s">
        <v>177</v>
      </c>
    </row>
    <row r="21" spans="1:9" ht="32" x14ac:dyDescent="0.2">
      <c r="A21" s="18"/>
      <c r="B21" s="2" t="s">
        <v>60</v>
      </c>
      <c r="C21" s="2" t="s">
        <v>61</v>
      </c>
      <c r="D21" s="2" t="s">
        <v>37</v>
      </c>
      <c r="E21" s="2" t="s">
        <v>62</v>
      </c>
      <c r="F21" s="5" t="s">
        <v>149</v>
      </c>
      <c r="G21" s="5" t="s">
        <v>150</v>
      </c>
      <c r="H21" s="5" t="s">
        <v>137</v>
      </c>
      <c r="I21" s="5" t="s">
        <v>178</v>
      </c>
    </row>
    <row r="22" spans="1:9" ht="32" x14ac:dyDescent="0.2">
      <c r="A22" s="18"/>
      <c r="B22" s="2" t="s">
        <v>63</v>
      </c>
      <c r="C22" s="2" t="s">
        <v>64</v>
      </c>
      <c r="D22" s="2" t="s">
        <v>37</v>
      </c>
      <c r="E22" s="2" t="s">
        <v>34</v>
      </c>
      <c r="F22" s="5" t="s">
        <v>158</v>
      </c>
      <c r="G22" s="5" t="s">
        <v>140</v>
      </c>
      <c r="H22" s="5" t="s">
        <v>137</v>
      </c>
      <c r="I22" s="5" t="s">
        <v>179</v>
      </c>
    </row>
    <row r="23" spans="1:9" ht="48" x14ac:dyDescent="0.2">
      <c r="A23" s="18"/>
      <c r="B23" s="2" t="s">
        <v>44</v>
      </c>
      <c r="C23" s="2" t="s">
        <v>45</v>
      </c>
      <c r="D23" s="2" t="s">
        <v>37</v>
      </c>
      <c r="E23" s="2" t="s">
        <v>46</v>
      </c>
      <c r="F23" s="5" t="s">
        <v>164</v>
      </c>
      <c r="G23" s="5" t="s">
        <v>140</v>
      </c>
      <c r="H23" s="5" t="s">
        <v>137</v>
      </c>
      <c r="I23" s="5" t="s">
        <v>165</v>
      </c>
    </row>
    <row r="24" spans="1:9" ht="45" x14ac:dyDescent="0.2">
      <c r="A24" s="18"/>
      <c r="B24" s="2" t="s">
        <v>65</v>
      </c>
      <c r="C24" s="2" t="s">
        <v>66</v>
      </c>
      <c r="D24" s="2" t="s">
        <v>286</v>
      </c>
      <c r="E24" s="2" t="s">
        <v>67</v>
      </c>
      <c r="F24" s="5" t="s">
        <v>180</v>
      </c>
      <c r="G24" s="5" t="s">
        <v>181</v>
      </c>
      <c r="H24" s="5" t="s">
        <v>137</v>
      </c>
      <c r="I24" s="5" t="s">
        <v>182</v>
      </c>
    </row>
    <row r="25" spans="1:9" ht="48" x14ac:dyDescent="0.2">
      <c r="A25" s="18" t="s">
        <v>68</v>
      </c>
      <c r="B25" s="2" t="s">
        <v>69</v>
      </c>
      <c r="C25" s="2" t="s">
        <v>70</v>
      </c>
      <c r="D25" s="2" t="s">
        <v>71</v>
      </c>
      <c r="E25" s="2" t="s">
        <v>72</v>
      </c>
      <c r="F25" s="5" t="s">
        <v>183</v>
      </c>
      <c r="G25" s="5" t="s">
        <v>136</v>
      </c>
      <c r="H25" s="5" t="s">
        <v>137</v>
      </c>
      <c r="I25" s="5" t="s">
        <v>184</v>
      </c>
    </row>
    <row r="26" spans="1:9" ht="32" x14ac:dyDescent="0.2">
      <c r="A26" s="18"/>
      <c r="B26" s="2" t="s">
        <v>73</v>
      </c>
      <c r="C26" s="2" t="s">
        <v>74</v>
      </c>
      <c r="D26" s="2" t="s">
        <v>71</v>
      </c>
      <c r="E26" s="2" t="s">
        <v>75</v>
      </c>
      <c r="F26" s="5" t="s">
        <v>185</v>
      </c>
      <c r="G26" s="5" t="s">
        <v>150</v>
      </c>
      <c r="H26" s="5" t="s">
        <v>186</v>
      </c>
      <c r="I26" s="5" t="s">
        <v>187</v>
      </c>
    </row>
    <row r="27" spans="1:9" ht="32" x14ac:dyDescent="0.2">
      <c r="A27" s="18"/>
      <c r="B27" s="2" t="s">
        <v>76</v>
      </c>
      <c r="C27" s="2" t="s">
        <v>77</v>
      </c>
      <c r="D27" s="2" t="s">
        <v>78</v>
      </c>
      <c r="E27" s="2" t="s">
        <v>75</v>
      </c>
      <c r="F27" s="5" t="s">
        <v>149</v>
      </c>
      <c r="G27" s="5" t="s">
        <v>140</v>
      </c>
      <c r="H27" s="5" t="s">
        <v>186</v>
      </c>
      <c r="I27" s="5" t="s">
        <v>188</v>
      </c>
    </row>
    <row r="28" spans="1:9" ht="32" x14ac:dyDescent="0.2">
      <c r="A28" s="18"/>
      <c r="B28" s="2" t="s">
        <v>79</v>
      </c>
      <c r="C28" s="2" t="s">
        <v>80</v>
      </c>
      <c r="D28" s="2" t="s">
        <v>288</v>
      </c>
      <c r="E28" s="2" t="s">
        <v>81</v>
      </c>
      <c r="F28" s="5" t="s">
        <v>189</v>
      </c>
      <c r="G28" s="5" t="s">
        <v>140</v>
      </c>
      <c r="H28" s="5" t="s">
        <v>137</v>
      </c>
      <c r="I28" s="5" t="s">
        <v>190</v>
      </c>
    </row>
    <row r="29" spans="1:9" ht="32" x14ac:dyDescent="0.2">
      <c r="A29" s="18"/>
      <c r="B29" s="2" t="s">
        <v>82</v>
      </c>
      <c r="C29" s="2" t="s">
        <v>83</v>
      </c>
      <c r="D29" s="2" t="s">
        <v>78</v>
      </c>
      <c r="E29" s="2" t="s">
        <v>84</v>
      </c>
      <c r="F29" s="5" t="s">
        <v>149</v>
      </c>
      <c r="G29" s="5" t="s">
        <v>140</v>
      </c>
      <c r="H29" s="5" t="s">
        <v>191</v>
      </c>
      <c r="I29" s="5" t="s">
        <v>192</v>
      </c>
    </row>
    <row r="30" spans="1:9" ht="32" x14ac:dyDescent="0.2">
      <c r="A30" s="4" t="s">
        <v>85</v>
      </c>
      <c r="B30" s="2" t="s">
        <v>86</v>
      </c>
      <c r="C30" s="2" t="s">
        <v>87</v>
      </c>
      <c r="D30" s="2" t="s">
        <v>37</v>
      </c>
      <c r="E30" s="2" t="s">
        <v>88</v>
      </c>
      <c r="F30" s="5" t="s">
        <v>193</v>
      </c>
      <c r="G30" s="5" t="s">
        <v>194</v>
      </c>
      <c r="H30" s="5" t="s">
        <v>195</v>
      </c>
      <c r="I30" s="5" t="s">
        <v>196</v>
      </c>
    </row>
    <row r="31" spans="1:9" ht="16" x14ac:dyDescent="0.2">
      <c r="A31" s="19" t="s">
        <v>273</v>
      </c>
    </row>
    <row r="33" spans="1:1" x14ac:dyDescent="0.2">
      <c r="A33" s="19" t="s">
        <v>267</v>
      </c>
    </row>
    <row r="34" spans="1:1" x14ac:dyDescent="0.2">
      <c r="A34" s="19" t="s">
        <v>268</v>
      </c>
    </row>
    <row r="35" spans="1:1" x14ac:dyDescent="0.2">
      <c r="A35" s="19" t="s">
        <v>269</v>
      </c>
    </row>
    <row r="36" spans="1:1" x14ac:dyDescent="0.2">
      <c r="A36" s="19" t="s">
        <v>270</v>
      </c>
    </row>
    <row r="37" spans="1:1" x14ac:dyDescent="0.2">
      <c r="A37" s="19" t="s">
        <v>271</v>
      </c>
    </row>
  </sheetData>
  <mergeCells count="7">
    <mergeCell ref="A18:A24"/>
    <mergeCell ref="A25:A29"/>
    <mergeCell ref="A1:E1"/>
    <mergeCell ref="A3:A5"/>
    <mergeCell ref="A6:A10"/>
    <mergeCell ref="A13:A17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4" width="18" customWidth="1"/>
    <col min="5" max="5" width="55" customWidth="1"/>
    <col min="6" max="6" width="31" customWidth="1"/>
    <col min="7" max="7" width="25" customWidth="1"/>
    <col min="8" max="8" width="15.1640625" customWidth="1"/>
  </cols>
  <sheetData>
    <row r="1" spans="1:8" ht="32" x14ac:dyDescent="0.2">
      <c r="A1" s="11" t="s">
        <v>197</v>
      </c>
      <c r="B1" s="11" t="s">
        <v>198</v>
      </c>
      <c r="C1" s="11" t="s">
        <v>199</v>
      </c>
      <c r="D1" s="11" t="s">
        <v>200</v>
      </c>
      <c r="E1" s="10" t="s">
        <v>201</v>
      </c>
      <c r="F1" s="1"/>
      <c r="G1" s="1"/>
      <c r="H1" s="1"/>
    </row>
    <row r="2" spans="1:8" ht="32" x14ac:dyDescent="0.2">
      <c r="A2" s="5" t="s">
        <v>202</v>
      </c>
      <c r="B2" s="5"/>
      <c r="C2" s="5"/>
      <c r="D2" s="5" t="str">
        <f>IF(OR(B2="",C2=""),"",B2*C2)</f>
        <v/>
      </c>
      <c r="E2" s="9" t="s">
        <v>203</v>
      </c>
    </row>
    <row r="3" spans="1:8" ht="32" x14ac:dyDescent="0.2">
      <c r="A3" s="5" t="s">
        <v>204</v>
      </c>
      <c r="B3" s="5"/>
      <c r="C3" s="5"/>
      <c r="D3" s="5" t="str">
        <f>IF(OR(B3="",C3=""),"",B3*C3)</f>
        <v/>
      </c>
      <c r="E3" s="9" t="s">
        <v>205</v>
      </c>
    </row>
    <row r="4" spans="1:8" ht="32" x14ac:dyDescent="0.2">
      <c r="A4" s="5" t="s">
        <v>206</v>
      </c>
      <c r="B4" s="5"/>
      <c r="C4" s="5"/>
      <c r="D4" s="5" t="str">
        <f>IF(OR(B4="",C4=""),"",B4*C4)</f>
        <v/>
      </c>
      <c r="E4" s="9" t="s">
        <v>207</v>
      </c>
    </row>
    <row r="5" spans="1:8" ht="32" x14ac:dyDescent="0.2">
      <c r="A5" s="5" t="s">
        <v>208</v>
      </c>
      <c r="B5" s="5"/>
      <c r="C5" s="5"/>
      <c r="D5" s="5" t="str">
        <f>IF(OR(B5="",C5=""),"",B5*C5)</f>
        <v/>
      </c>
      <c r="E5" s="9" t="s">
        <v>209</v>
      </c>
    </row>
    <row r="6" spans="1:8" ht="16" x14ac:dyDescent="0.2">
      <c r="A6" s="5" t="s">
        <v>210</v>
      </c>
      <c r="B6" s="5">
        <f>SUM(B2:B5)</f>
        <v>0</v>
      </c>
      <c r="C6" s="5"/>
      <c r="D6" s="5">
        <f>SUM(D2:D5)</f>
        <v>0</v>
      </c>
      <c r="E6" s="9" t="s">
        <v>211</v>
      </c>
    </row>
    <row r="7" spans="1:8" x14ac:dyDescent="0.2">
      <c r="A7" s="6"/>
      <c r="B7" s="6" t="s">
        <v>89</v>
      </c>
      <c r="C7" s="6" t="s">
        <v>90</v>
      </c>
      <c r="D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5" x14ac:dyDescent="0.2"/>
  <cols>
    <col min="1" max="1" width="24" customWidth="1"/>
    <col min="2" max="3" width="18" customWidth="1"/>
    <col min="4" max="4" width="15" customWidth="1"/>
    <col min="5" max="6" width="14" customWidth="1"/>
    <col min="7" max="7" width="55" customWidth="1"/>
  </cols>
  <sheetData>
    <row r="1" spans="1:7" ht="16" x14ac:dyDescent="0.2">
      <c r="A1" s="11" t="s">
        <v>212</v>
      </c>
      <c r="B1" s="11" t="s">
        <v>213</v>
      </c>
      <c r="C1" s="11" t="s">
        <v>214</v>
      </c>
      <c r="D1" s="11" t="s">
        <v>215</v>
      </c>
      <c r="E1" s="11" t="s">
        <v>216</v>
      </c>
      <c r="F1" s="11" t="s">
        <v>217</v>
      </c>
      <c r="G1" s="11" t="s">
        <v>218</v>
      </c>
    </row>
    <row r="2" spans="1:7" ht="32" x14ac:dyDescent="0.2">
      <c r="A2" s="5" t="s">
        <v>91</v>
      </c>
      <c r="B2" s="5" t="s">
        <v>92</v>
      </c>
      <c r="C2" s="12"/>
      <c r="D2" s="5"/>
      <c r="E2" s="5"/>
      <c r="F2" s="5" t="str">
        <f t="shared" ref="F2:F7" si="0">IF(OR(C2="",D2="",E2=""),"",C2*D2*E2)</f>
        <v/>
      </c>
      <c r="G2" s="5" t="s">
        <v>93</v>
      </c>
    </row>
    <row r="3" spans="1:7" ht="32" x14ac:dyDescent="0.2">
      <c r="A3" s="5" t="s">
        <v>94</v>
      </c>
      <c r="B3" s="5" t="s">
        <v>95</v>
      </c>
      <c r="C3" s="5"/>
      <c r="D3" s="5"/>
      <c r="E3" s="5"/>
      <c r="F3" s="5" t="str">
        <f t="shared" si="0"/>
        <v/>
      </c>
      <c r="G3" s="5" t="s">
        <v>96</v>
      </c>
    </row>
    <row r="4" spans="1:7" ht="16" x14ac:dyDescent="0.2">
      <c r="A4" s="5" t="s">
        <v>97</v>
      </c>
      <c r="B4" s="5" t="s">
        <v>98</v>
      </c>
      <c r="C4" s="5"/>
      <c r="D4" s="5"/>
      <c r="E4" s="5"/>
      <c r="F4" s="5" t="str">
        <f t="shared" si="0"/>
        <v/>
      </c>
      <c r="G4" s="5" t="s">
        <v>99</v>
      </c>
    </row>
    <row r="5" spans="1:7" ht="32" x14ac:dyDescent="0.2">
      <c r="A5" s="5" t="s">
        <v>100</v>
      </c>
      <c r="B5" s="5" t="s">
        <v>101</v>
      </c>
      <c r="C5" s="5"/>
      <c r="D5" s="5"/>
      <c r="E5" s="5"/>
      <c r="F5" s="5" t="str">
        <f t="shared" si="0"/>
        <v/>
      </c>
      <c r="G5" s="5" t="s">
        <v>102</v>
      </c>
    </row>
    <row r="6" spans="1:7" ht="16" x14ac:dyDescent="0.2">
      <c r="A6" s="5" t="s">
        <v>103</v>
      </c>
      <c r="B6" s="5" t="s">
        <v>104</v>
      </c>
      <c r="C6" s="5"/>
      <c r="D6" s="5"/>
      <c r="E6" s="5"/>
      <c r="F6" s="5" t="str">
        <f t="shared" si="0"/>
        <v/>
      </c>
      <c r="G6" s="5" t="s">
        <v>105</v>
      </c>
    </row>
    <row r="7" spans="1:7" ht="32" x14ac:dyDescent="0.2">
      <c r="A7" s="5" t="s">
        <v>106</v>
      </c>
      <c r="B7" s="5" t="s">
        <v>107</v>
      </c>
      <c r="C7" s="5"/>
      <c r="D7" s="5"/>
      <c r="E7" s="5"/>
      <c r="F7" s="5" t="str">
        <f t="shared" si="0"/>
        <v/>
      </c>
      <c r="G7" s="5" t="s">
        <v>108</v>
      </c>
    </row>
    <row r="8" spans="1:7" ht="32" x14ac:dyDescent="0.2">
      <c r="A8" s="5" t="s">
        <v>109</v>
      </c>
      <c r="B8" s="5"/>
      <c r="C8" s="5"/>
      <c r="D8" s="5"/>
      <c r="E8" s="5"/>
      <c r="F8" s="5"/>
      <c r="G8" s="5" t="s">
        <v>110</v>
      </c>
    </row>
    <row r="9" spans="1:7" ht="16" x14ac:dyDescent="0.2">
      <c r="A9" s="9"/>
      <c r="B9" s="9"/>
      <c r="C9" s="9"/>
      <c r="D9" s="9"/>
      <c r="E9" s="9" t="s">
        <v>219</v>
      </c>
      <c r="F9" s="13">
        <f>SUM(F2:F8)</f>
        <v>0</v>
      </c>
      <c r="G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15" customWidth="1"/>
    <col min="4" max="4" width="18" customWidth="1"/>
    <col min="5" max="5" width="15" customWidth="1"/>
    <col min="6" max="6" width="22" customWidth="1"/>
  </cols>
  <sheetData>
    <row r="1" spans="1:6" ht="16" x14ac:dyDescent="0.2">
      <c r="A1" s="14" t="s">
        <v>220</v>
      </c>
      <c r="B1" s="14" t="s">
        <v>221</v>
      </c>
      <c r="C1" s="14" t="s">
        <v>222</v>
      </c>
      <c r="D1" s="14" t="s">
        <v>223</v>
      </c>
      <c r="E1" s="14" t="s">
        <v>224</v>
      </c>
      <c r="F1" s="14" t="s">
        <v>225</v>
      </c>
    </row>
    <row r="2" spans="1:6" ht="16" x14ac:dyDescent="0.2">
      <c r="A2" s="15" t="s">
        <v>111</v>
      </c>
      <c r="B2" s="16"/>
      <c r="C2" s="16"/>
      <c r="D2" s="16"/>
      <c r="E2" s="16"/>
      <c r="F2" s="16" t="str">
        <f t="shared" ref="F2:F13" si="0">IF(OR(B2="",D2=""),"",IF(E2=0,(B2-C2)/D2,(B2-C2/(1+E2)^D2)*(E2*(1+E2)^D2/((1+E2)^D2-1))))</f>
        <v/>
      </c>
    </row>
    <row r="3" spans="1:6" ht="16" x14ac:dyDescent="0.2">
      <c r="A3" s="15" t="s">
        <v>112</v>
      </c>
      <c r="B3" s="15"/>
      <c r="C3" s="15"/>
      <c r="D3" s="15"/>
      <c r="E3" s="15"/>
      <c r="F3" s="15" t="str">
        <f t="shared" si="0"/>
        <v/>
      </c>
    </row>
    <row r="4" spans="1:6" ht="16" x14ac:dyDescent="0.2">
      <c r="A4" s="15" t="s">
        <v>113</v>
      </c>
      <c r="B4" s="15"/>
      <c r="C4" s="15"/>
      <c r="D4" s="15"/>
      <c r="E4" s="15"/>
      <c r="F4" s="15" t="str">
        <f t="shared" si="0"/>
        <v/>
      </c>
    </row>
    <row r="5" spans="1:6" ht="16" x14ac:dyDescent="0.2">
      <c r="A5" s="15" t="s">
        <v>114</v>
      </c>
      <c r="B5" s="15"/>
      <c r="C5" s="15"/>
      <c r="D5" s="15"/>
      <c r="E5" s="15"/>
      <c r="F5" s="15" t="str">
        <f t="shared" si="0"/>
        <v/>
      </c>
    </row>
    <row r="6" spans="1:6" ht="16" x14ac:dyDescent="0.2">
      <c r="A6" s="15" t="s">
        <v>115</v>
      </c>
      <c r="B6" s="15"/>
      <c r="C6" s="15"/>
      <c r="D6" s="15"/>
      <c r="E6" s="15"/>
      <c r="F6" s="15" t="str">
        <f t="shared" si="0"/>
        <v/>
      </c>
    </row>
    <row r="7" spans="1:6" ht="16" x14ac:dyDescent="0.2">
      <c r="A7" s="15" t="s">
        <v>116</v>
      </c>
      <c r="B7" s="15"/>
      <c r="C7" s="15"/>
      <c r="D7" s="15"/>
      <c r="E7" s="15"/>
      <c r="F7" s="15" t="str">
        <f t="shared" si="0"/>
        <v/>
      </c>
    </row>
    <row r="8" spans="1:6" ht="16" x14ac:dyDescent="0.2">
      <c r="A8" s="15" t="s">
        <v>117</v>
      </c>
      <c r="B8" s="15"/>
      <c r="C8" s="15"/>
      <c r="D8" s="15"/>
      <c r="E8" s="15"/>
      <c r="F8" s="17" t="str">
        <f t="shared" si="0"/>
        <v/>
      </c>
    </row>
    <row r="9" spans="1:6" ht="16" x14ac:dyDescent="0.2">
      <c r="A9" s="15" t="s">
        <v>118</v>
      </c>
      <c r="B9" s="15"/>
      <c r="C9" s="15"/>
      <c r="D9" s="15"/>
      <c r="E9" s="15"/>
      <c r="F9" s="15" t="str">
        <f t="shared" si="0"/>
        <v/>
      </c>
    </row>
    <row r="10" spans="1:6" ht="32" x14ac:dyDescent="0.2">
      <c r="A10" s="15" t="s">
        <v>119</v>
      </c>
      <c r="B10" s="15"/>
      <c r="C10" s="15"/>
      <c r="D10" s="15"/>
      <c r="E10" s="15"/>
      <c r="F10" s="15" t="str">
        <f t="shared" si="0"/>
        <v/>
      </c>
    </row>
    <row r="11" spans="1:6" ht="16" x14ac:dyDescent="0.2">
      <c r="A11" s="15" t="s">
        <v>120</v>
      </c>
      <c r="B11" s="15"/>
      <c r="C11" s="15"/>
      <c r="D11" s="15"/>
      <c r="E11" s="15"/>
      <c r="F11" s="15" t="str">
        <f t="shared" si="0"/>
        <v/>
      </c>
    </row>
    <row r="12" spans="1:6" ht="16" x14ac:dyDescent="0.2">
      <c r="A12" s="15" t="s">
        <v>121</v>
      </c>
      <c r="B12" s="15"/>
      <c r="C12" s="15"/>
      <c r="D12" s="15"/>
      <c r="E12" s="15"/>
      <c r="F12" s="15" t="str">
        <f t="shared" si="0"/>
        <v/>
      </c>
    </row>
    <row r="13" spans="1:6" ht="16" x14ac:dyDescent="0.2">
      <c r="A13" s="15" t="s">
        <v>122</v>
      </c>
      <c r="B13" s="15"/>
      <c r="C13" s="15"/>
      <c r="D13" s="15"/>
      <c r="E13" s="15"/>
      <c r="F13" s="15" t="str">
        <f t="shared" si="0"/>
        <v/>
      </c>
    </row>
    <row r="14" spans="1:6" ht="32" x14ac:dyDescent="0.2">
      <c r="A14" s="9"/>
      <c r="B14" s="9"/>
      <c r="C14" s="9"/>
      <c r="D14" s="9"/>
      <c r="E14" s="9" t="s">
        <v>226</v>
      </c>
      <c r="F14" s="13">
        <f>SUM(F2:F13)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C28" sqref="C28"/>
    </sheetView>
  </sheetViews>
  <sheetFormatPr baseColWidth="10" defaultColWidth="10.83203125" defaultRowHeight="15" x14ac:dyDescent="0.2"/>
  <cols>
    <col min="1" max="1" width="30" customWidth="1"/>
    <col min="2" max="3" width="20" customWidth="1"/>
    <col min="4" max="4" width="14" customWidth="1"/>
    <col min="5" max="6" width="18" customWidth="1"/>
    <col min="7" max="7" width="55" customWidth="1"/>
  </cols>
  <sheetData>
    <row r="1" spans="1:7" ht="32" x14ac:dyDescent="0.2">
      <c r="A1" s="11" t="s">
        <v>227</v>
      </c>
      <c r="B1" s="11" t="s">
        <v>228</v>
      </c>
      <c r="C1" s="11" t="s">
        <v>229</v>
      </c>
      <c r="D1" s="11" t="s">
        <v>230</v>
      </c>
      <c r="E1" s="11" t="s">
        <v>231</v>
      </c>
      <c r="F1" s="11" t="s">
        <v>232</v>
      </c>
      <c r="G1" s="7" t="s">
        <v>201</v>
      </c>
    </row>
    <row r="2" spans="1:7" ht="16" x14ac:dyDescent="0.2">
      <c r="A2" s="5" t="s">
        <v>123</v>
      </c>
      <c r="B2" s="5"/>
      <c r="C2" s="5"/>
      <c r="D2" s="5"/>
      <c r="E2" s="5" t="str">
        <f t="shared" ref="E2:E11" si="0">IF(OR(B2="",C2=""),"",C2-B2)</f>
        <v/>
      </c>
      <c r="F2" s="5" t="str">
        <f t="shared" ref="F2:F11" si="1">IF(OR(E2="",D2=""),"",E2*D2)</f>
        <v/>
      </c>
      <c r="G2" s="9"/>
    </row>
    <row r="3" spans="1:7" ht="16" x14ac:dyDescent="0.2">
      <c r="A3" s="5" t="s">
        <v>124</v>
      </c>
      <c r="B3" s="5"/>
      <c r="C3" s="5"/>
      <c r="D3" s="5"/>
      <c r="E3" s="5" t="str">
        <f t="shared" si="0"/>
        <v/>
      </c>
      <c r="F3" s="5" t="str">
        <f t="shared" si="1"/>
        <v/>
      </c>
      <c r="G3" s="9"/>
    </row>
    <row r="4" spans="1:7" ht="16" x14ac:dyDescent="0.2">
      <c r="A4" s="5" t="s">
        <v>125</v>
      </c>
      <c r="B4" s="5"/>
      <c r="C4" s="5"/>
      <c r="D4" s="5"/>
      <c r="E4" s="5" t="str">
        <f t="shared" si="0"/>
        <v/>
      </c>
      <c r="F4" s="5" t="str">
        <f t="shared" si="1"/>
        <v/>
      </c>
      <c r="G4" s="9"/>
    </row>
    <row r="5" spans="1:7" ht="16" x14ac:dyDescent="0.2">
      <c r="A5" s="5" t="s">
        <v>126</v>
      </c>
      <c r="B5" s="5"/>
      <c r="C5" s="5"/>
      <c r="D5" s="5"/>
      <c r="E5" s="5" t="str">
        <f t="shared" si="0"/>
        <v/>
      </c>
      <c r="F5" s="5" t="str">
        <f t="shared" si="1"/>
        <v/>
      </c>
      <c r="G5" s="9"/>
    </row>
    <row r="6" spans="1:7" ht="16" x14ac:dyDescent="0.2">
      <c r="A6" s="5" t="s">
        <v>127</v>
      </c>
      <c r="B6" s="5"/>
      <c r="C6" s="5"/>
      <c r="D6" s="5"/>
      <c r="E6" s="5" t="str">
        <f t="shared" si="0"/>
        <v/>
      </c>
      <c r="F6" s="5" t="str">
        <f t="shared" si="1"/>
        <v/>
      </c>
      <c r="G6" s="9"/>
    </row>
    <row r="7" spans="1:7" ht="16" x14ac:dyDescent="0.2">
      <c r="A7" s="5" t="s">
        <v>128</v>
      </c>
      <c r="B7" s="5"/>
      <c r="C7" s="5"/>
      <c r="D7" s="5"/>
      <c r="E7" s="5" t="str">
        <f t="shared" si="0"/>
        <v/>
      </c>
      <c r="F7" s="5" t="str">
        <f t="shared" si="1"/>
        <v/>
      </c>
      <c r="G7" s="9"/>
    </row>
    <row r="8" spans="1:7" ht="16" x14ac:dyDescent="0.2">
      <c r="A8" s="5" t="s">
        <v>129</v>
      </c>
      <c r="B8" s="5"/>
      <c r="C8" s="5"/>
      <c r="D8" s="5"/>
      <c r="E8" s="5" t="str">
        <f t="shared" si="0"/>
        <v/>
      </c>
      <c r="F8" s="5" t="str">
        <f t="shared" si="1"/>
        <v/>
      </c>
      <c r="G8" s="9"/>
    </row>
    <row r="9" spans="1:7" ht="16" x14ac:dyDescent="0.2">
      <c r="A9" s="5" t="s">
        <v>130</v>
      </c>
      <c r="B9" s="5"/>
      <c r="C9" s="5"/>
      <c r="D9" s="5"/>
      <c r="E9" s="5" t="str">
        <f t="shared" si="0"/>
        <v/>
      </c>
      <c r="F9" s="5" t="str">
        <f t="shared" si="1"/>
        <v/>
      </c>
      <c r="G9" s="9"/>
    </row>
    <row r="10" spans="1:7" ht="16" x14ac:dyDescent="0.2">
      <c r="A10" s="5" t="s">
        <v>131</v>
      </c>
      <c r="B10" s="5"/>
      <c r="C10" s="5"/>
      <c r="D10" s="5"/>
      <c r="E10" s="5" t="str">
        <f t="shared" si="0"/>
        <v/>
      </c>
      <c r="F10" s="5" t="str">
        <f t="shared" si="1"/>
        <v/>
      </c>
      <c r="G10" s="9"/>
    </row>
    <row r="11" spans="1:7" ht="16" x14ac:dyDescent="0.2">
      <c r="A11" s="5" t="s">
        <v>132</v>
      </c>
      <c r="B11" s="5"/>
      <c r="C11" s="5"/>
      <c r="D11" s="5"/>
      <c r="E11" s="5" t="str">
        <f t="shared" si="0"/>
        <v/>
      </c>
      <c r="F11" s="5" t="str">
        <f t="shared" si="1"/>
        <v/>
      </c>
      <c r="G11" s="9"/>
    </row>
    <row r="12" spans="1:7" ht="32" x14ac:dyDescent="0.2">
      <c r="A12" s="9"/>
      <c r="B12" s="9"/>
      <c r="C12" s="9"/>
      <c r="D12" s="9" t="s">
        <v>133</v>
      </c>
      <c r="E12" s="9" t="s">
        <v>133</v>
      </c>
      <c r="F12" s="9">
        <f>SUM(F2:F11)</f>
        <v>0</v>
      </c>
      <c r="G1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22" customWidth="1"/>
    <col min="2" max="2" width="36" customWidth="1"/>
    <col min="3" max="3" width="42" customWidth="1"/>
    <col min="4" max="4" width="36" customWidth="1"/>
    <col min="5" max="5" width="45" customWidth="1"/>
  </cols>
  <sheetData>
    <row r="1" spans="1:5" ht="16" x14ac:dyDescent="0.2">
      <c r="A1" s="21" t="s">
        <v>233</v>
      </c>
      <c r="B1" s="21" t="s">
        <v>234</v>
      </c>
      <c r="C1" s="21" t="s">
        <v>235</v>
      </c>
      <c r="D1" s="22" t="s">
        <v>276</v>
      </c>
      <c r="E1" s="21" t="s">
        <v>236</v>
      </c>
    </row>
    <row r="2" spans="1:5" ht="32" x14ac:dyDescent="0.2">
      <c r="A2" s="23" t="s">
        <v>237</v>
      </c>
      <c r="B2" s="23" t="s">
        <v>238</v>
      </c>
      <c r="C2" s="23" t="s">
        <v>239</v>
      </c>
      <c r="D2" s="23" t="s">
        <v>240</v>
      </c>
      <c r="E2" s="23" t="s">
        <v>241</v>
      </c>
    </row>
    <row r="3" spans="1:5" ht="32" x14ac:dyDescent="0.2">
      <c r="A3" s="23" t="s">
        <v>242</v>
      </c>
      <c r="B3" s="23" t="s">
        <v>243</v>
      </c>
      <c r="C3" s="23" t="s">
        <v>244</v>
      </c>
      <c r="D3" s="23" t="s">
        <v>245</v>
      </c>
      <c r="E3" s="23" t="s">
        <v>246</v>
      </c>
    </row>
    <row r="4" spans="1:5" ht="48" x14ac:dyDescent="0.2">
      <c r="A4" s="23" t="s">
        <v>247</v>
      </c>
      <c r="B4" s="23" t="s">
        <v>248</v>
      </c>
      <c r="C4" s="23" t="s">
        <v>249</v>
      </c>
      <c r="D4" s="23" t="s">
        <v>250</v>
      </c>
      <c r="E4" s="23" t="s">
        <v>251</v>
      </c>
    </row>
    <row r="5" spans="1:5" ht="32" x14ac:dyDescent="0.2">
      <c r="A5" s="23" t="s">
        <v>252</v>
      </c>
      <c r="B5" s="23" t="s">
        <v>253</v>
      </c>
      <c r="C5" s="23" t="s">
        <v>254</v>
      </c>
      <c r="D5" s="23" t="s">
        <v>255</v>
      </c>
      <c r="E5" s="23" t="s">
        <v>256</v>
      </c>
    </row>
    <row r="6" spans="1:5" ht="32" x14ac:dyDescent="0.2">
      <c r="A6" s="23" t="s">
        <v>257</v>
      </c>
      <c r="B6" s="23" t="s">
        <v>258</v>
      </c>
      <c r="C6" s="23" t="s">
        <v>259</v>
      </c>
      <c r="D6" s="23" t="s">
        <v>260</v>
      </c>
      <c r="E6" s="23" t="s">
        <v>261</v>
      </c>
    </row>
    <row r="7" spans="1:5" ht="32" x14ac:dyDescent="0.2">
      <c r="A7" s="23" t="s">
        <v>262</v>
      </c>
      <c r="B7" s="23" t="s">
        <v>263</v>
      </c>
      <c r="C7" s="23" t="s">
        <v>264</v>
      </c>
      <c r="D7" s="23" t="s">
        <v>265</v>
      </c>
      <c r="E7" s="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Cost</vt:lpstr>
      <vt:lpstr>Electricity</vt:lpstr>
      <vt:lpstr>Cloud</vt:lpstr>
      <vt:lpstr>Capital</vt:lpstr>
      <vt:lpstr>Clinical cost change</vt:lpstr>
      <vt:lpstr>Perspective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2026-05-25T05:18:30Z</dcterms:created>
  <dcterms:modified xsi:type="dcterms:W3CDTF">2026-05-26T03:58:25Z</dcterms:modified>
</cp:coreProperties>
</file>